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14355" windowHeight="7995" activeTab="1"/>
  </bookViews>
  <sheets>
    <sheet name="Instructions" sheetId="1" r:id="rId1"/>
    <sheet name="OASIS Calculation" sheetId="3" r:id="rId2"/>
    <sheet name="Ranges" sheetId="2" state="hidden" r:id="rId3"/>
  </sheets>
  <definedNames>
    <definedName name="age">Ranges!$B$44:$D$49</definedName>
    <definedName name="elect">Ranges!$B$53:$D$55</definedName>
    <definedName name="gcs">Ranges!$B$33:$D$37</definedName>
    <definedName name="hr">Ranges!$B$1:$D$6</definedName>
    <definedName name="map">Ranges!$B$21:$D$26</definedName>
    <definedName name="prelos">Ranges!$B$38:$D$43</definedName>
    <definedName name="rr">Ranges!$B$7:$D$13</definedName>
    <definedName name="temp">Ranges!$B$14:$D$20</definedName>
    <definedName name="urine">Ranges!$B$27:$D$32</definedName>
    <definedName name="vent">Ranges!$B$50:$D$52</definedName>
  </definedNames>
  <calcPr calcId="145621"/>
</workbook>
</file>

<file path=xl/calcChain.xml><?xml version="1.0" encoding="utf-8"?>
<calcChain xmlns="http://schemas.openxmlformats.org/spreadsheetml/2006/main">
  <c r="E40" i="2" l="1"/>
  <c r="E41" i="2"/>
  <c r="E42" i="2"/>
  <c r="E43" i="2"/>
  <c r="E39" i="2"/>
  <c r="F40" i="2" l="1"/>
  <c r="F41" i="2"/>
  <c r="F42" i="2"/>
  <c r="F43" i="2"/>
  <c r="F39" i="2"/>
  <c r="E51" i="2"/>
  <c r="F51" i="2" s="1"/>
  <c r="E54" i="2"/>
  <c r="F54" i="2" s="1"/>
  <c r="E46" i="2"/>
  <c r="F46" i="2" s="1"/>
  <c r="E47" i="2"/>
  <c r="F47" i="2" s="1"/>
  <c r="E48" i="2"/>
  <c r="F48" i="2" s="1"/>
  <c r="E49" i="2"/>
  <c r="F49" i="2" s="1"/>
  <c r="E45" i="2"/>
  <c r="F45" i="2" s="1"/>
  <c r="E35" i="2"/>
  <c r="F35" i="2" s="1"/>
  <c r="E36" i="2"/>
  <c r="F36" i="2" s="1"/>
  <c r="E37" i="2"/>
  <c r="F37" i="2" s="1"/>
  <c r="E34" i="2"/>
  <c r="F34" i="2" s="1"/>
  <c r="E29" i="2"/>
  <c r="F29" i="2" s="1"/>
  <c r="E30" i="2"/>
  <c r="F30" i="2" s="1"/>
  <c r="E31" i="2"/>
  <c r="F31" i="2" s="1"/>
  <c r="E32" i="2"/>
  <c r="F32" i="2" s="1"/>
  <c r="E28" i="2"/>
  <c r="F28" i="2" s="1"/>
  <c r="E23" i="2"/>
  <c r="F23" i="2" s="1"/>
  <c r="E24" i="2"/>
  <c r="F24" i="2" s="1"/>
  <c r="E25" i="2"/>
  <c r="F25" i="2" s="1"/>
  <c r="E26" i="2"/>
  <c r="F26" i="2" s="1"/>
  <c r="E22" i="2"/>
  <c r="F22" i="2" s="1"/>
  <c r="E16" i="2"/>
  <c r="F16" i="2" s="1"/>
  <c r="E17" i="2"/>
  <c r="F17" i="2" s="1"/>
  <c r="E18" i="2"/>
  <c r="F18" i="2" s="1"/>
  <c r="E19" i="2"/>
  <c r="F19" i="2" s="1"/>
  <c r="E20" i="2"/>
  <c r="F20" i="2" s="1"/>
  <c r="E15" i="2"/>
  <c r="F15" i="2" s="1"/>
  <c r="E9" i="2"/>
  <c r="F9" i="2" s="1"/>
  <c r="E10" i="2"/>
  <c r="F10" i="2" s="1"/>
  <c r="E11" i="2"/>
  <c r="F11" i="2" s="1"/>
  <c r="E12" i="2"/>
  <c r="F12" i="2" s="1"/>
  <c r="E13" i="2"/>
  <c r="F13" i="2" s="1"/>
  <c r="E8" i="2"/>
  <c r="F8" i="2" s="1"/>
  <c r="E6" i="2"/>
  <c r="F6" i="2" s="1"/>
  <c r="E5" i="2"/>
  <c r="F5" i="2" s="1"/>
  <c r="E4" i="2"/>
  <c r="F4" i="2" s="1"/>
  <c r="E3" i="2"/>
  <c r="F3" i="2" s="1"/>
  <c r="E2" i="2"/>
  <c r="F2" i="2" s="1"/>
</calcChain>
</file>

<file path=xl/sharedStrings.xml><?xml version="1.0" encoding="utf-8"?>
<sst xmlns="http://schemas.openxmlformats.org/spreadsheetml/2006/main" count="104" uniqueCount="48">
  <si>
    <t>INSTRUCTIONS</t>
  </si>
  <si>
    <t>Following the methodology precisely, determine the physiological variable furthest from the reference point, whether higher or lower/above or below.  Assign OASIS points to that single, most deviant value.</t>
  </si>
  <si>
    <t>To calculate heart rate, respiratory rate, mean arterial pressure, and temperature:</t>
  </si>
  <si>
    <t>To calculate GCS:</t>
  </si>
  <si>
    <t>Take the lowest measurement.</t>
  </si>
  <si>
    <t>To calculate urine output:</t>
  </si>
  <si>
    <t>The volume of urine excreted over a 24 hour period should be used.</t>
  </si>
  <si>
    <t>Mecahnical ventilation:</t>
  </si>
  <si>
    <t>Patient is placed on a ventilator at any time during day 1.</t>
  </si>
  <si>
    <t>Pre-ICU LOS:</t>
  </si>
  <si>
    <t>This corresponds to the square root of the number of days the patient was in the hospital before being admitted to the ICU. It is transformed into hours.</t>
  </si>
  <si>
    <t>Example: patient admitted to hospital on JAN/1/2013 at 06:00</t>
  </si>
  <si>
    <t>Patient admitted to ICU on JAN/2/2013 at 09:00</t>
  </si>
  <si>
    <t>(JAN/2/2013 06:00 - JAN/1/2013 09:00) = 1.125 days</t>
  </si>
  <si>
    <t>Square root of 1.125 days = 1.0607 days</t>
  </si>
  <si>
    <t>Pre-ICU LOS = 24*1.0607 = 25.46</t>
  </si>
  <si>
    <t>Pulse (beats/min)</t>
  </si>
  <si>
    <t>Select heart rate furthest from 75</t>
  </si>
  <si>
    <t>Mean Blood Pressure (MAP)</t>
  </si>
  <si>
    <t>Select MAP furthest from 90</t>
  </si>
  <si>
    <t xml:space="preserve"> </t>
  </si>
  <si>
    <t>Select respiratory rate furthest from 19</t>
  </si>
  <si>
    <t>Temperature (degrees Centigrade)</t>
  </si>
  <si>
    <t>Select core temperature furthest from 38.</t>
  </si>
  <si>
    <t>Add 1 degree Centigrade to axillary temps</t>
  </si>
  <si>
    <t>prior to selecting worst value</t>
  </si>
  <si>
    <t>Variable</t>
  </si>
  <si>
    <t>Weights</t>
  </si>
  <si>
    <t>Respiratory Rate (breaths/min)</t>
  </si>
  <si>
    <t>Low Range</t>
  </si>
  <si>
    <t>High Range</t>
  </si>
  <si>
    <t>Urine Ouput (cc/day)</t>
  </si>
  <si>
    <t>Glasgow Coma Score</t>
  </si>
  <si>
    <t>Pre-ICU length of stay (hrs.)</t>
  </si>
  <si>
    <t>Age (years)</t>
  </si>
  <si>
    <t>Ventilated</t>
  </si>
  <si>
    <t>N</t>
  </si>
  <si>
    <t>Y</t>
  </si>
  <si>
    <t>Elective Surgery</t>
  </si>
  <si>
    <t>Value</t>
  </si>
  <si>
    <t>Select core temperature furthest from 38. Add 1 degree Centigrade to axillary temps prior to selecting worst value</t>
  </si>
  <si>
    <t>Ventilated (y/n)</t>
  </si>
  <si>
    <t>Elective Surgery (y/n)</t>
  </si>
  <si>
    <t>n</t>
  </si>
  <si>
    <t xml:space="preserve">Enter values in the OASIS Calculation Worksheet, Column B. </t>
  </si>
  <si>
    <t>Push the  grey button to calculate OASIS.</t>
  </si>
  <si>
    <t>Square root of pre-ICU length of stay (hours.)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</si>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</sst>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2"/>
      <color theme="1"/>
      <name val="Calibri"/>
      <family val="2"/>
      <scheme val="minor"/>
    </font>
    <font>
      <i/>
      <sz val="10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rgb="FFFF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3" fillId="0" borderId="0" xfId="0" applyFont="1" applyAlignment="1"/>
    <xf numFmtId="0" fontId="2" fillId="0" borderId="0" xfId="0" applyFont="1" applyAlignment="1">
      <alignment horizontal="left" vertical="top" wrapText="1"/>
    </xf>
    <xf numFmtId="0" fontId="4" fillId="0" borderId="1" xfId="0" applyFont="1" applyBorder="1" applyAlignment="1">
      <alignment vertical="top" wrapText="1"/>
    </xf>
    <xf numFmtId="0" fontId="6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/>
    </xf>
    <xf numFmtId="0" fontId="1" fillId="2" borderId="5" xfId="0" applyFont="1" applyFill="1" applyBorder="1"/>
    <xf numFmtId="0" fontId="5" fillId="0" borderId="7" xfId="0" applyFont="1" applyBorder="1"/>
    <xf numFmtId="0" fontId="0" fillId="0" borderId="7" xfId="0" applyBorder="1"/>
    <xf numFmtId="0" fontId="0" fillId="0" borderId="9" xfId="0" applyBorder="1"/>
    <xf numFmtId="0" fontId="8" fillId="0" borderId="0" xfId="0" applyFont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6" xfId="0" applyNumberFormat="1" applyFont="1" applyBorder="1" applyAlignment="1">
      <alignment horizontal="center"/>
    </xf>
    <xf numFmtId="0" fontId="9" fillId="0" borderId="0" xfId="0" applyNumberFormat="1" applyFont="1" applyBorder="1" applyAlignment="1">
      <alignment horizontal="center"/>
    </xf>
    <xf numFmtId="0" fontId="9" fillId="0" borderId="10" xfId="0" applyNumberFormat="1" applyFont="1" applyBorder="1" applyAlignment="1">
      <alignment horizontal="center"/>
    </xf>
    <xf numFmtId="0" fontId="9" fillId="0" borderId="6" xfId="0" applyNumberFormat="1" applyFont="1" applyBorder="1" applyAlignment="1" applyProtection="1">
      <alignment horizontal="center"/>
    </xf>
    <xf numFmtId="0" fontId="9" fillId="0" borderId="0" xfId="0" applyNumberFormat="1" applyFont="1" applyBorder="1" applyAlignment="1" applyProtection="1">
      <alignment horizontal="center"/>
    </xf>
    <xf numFmtId="2" fontId="9" fillId="0" borderId="0" xfId="0" applyNumberFormat="1" applyFont="1" applyBorder="1" applyAlignment="1" applyProtection="1">
      <alignment horizontal="center"/>
    </xf>
    <xf numFmtId="0" fontId="9" fillId="0" borderId="10" xfId="0" applyNumberFormat="1" applyFont="1" applyBorder="1" applyAlignment="1" applyProtection="1">
      <alignment horizontal="center"/>
    </xf>
    <xf numFmtId="2" fontId="9" fillId="0" borderId="10" xfId="0" applyNumberFormat="1" applyFont="1" applyBorder="1" applyAlignment="1" applyProtection="1">
      <alignment horizontal="center"/>
    </xf>
    <xf numFmtId="2" fontId="9" fillId="0" borderId="6" xfId="0" applyNumberFormat="1" applyFont="1" applyBorder="1" applyAlignment="1">
      <alignment horizontal="center"/>
    </xf>
    <xf numFmtId="2" fontId="9" fillId="0" borderId="0" xfId="0" applyNumberFormat="1" applyFont="1" applyBorder="1" applyAlignment="1">
      <alignment horizontal="center"/>
    </xf>
    <xf numFmtId="1" fontId="9" fillId="0" borderId="6" xfId="0" applyNumberFormat="1" applyFont="1" applyBorder="1" applyAlignment="1">
      <alignment horizontal="center"/>
    </xf>
    <xf numFmtId="1" fontId="9" fillId="0" borderId="0" xfId="0" applyNumberFormat="1" applyFont="1" applyBorder="1" applyAlignment="1">
      <alignment horizontal="center"/>
    </xf>
    <xf numFmtId="1" fontId="9" fillId="0" borderId="10" xfId="0" applyNumberFormat="1" applyFont="1" applyBorder="1" applyAlignment="1">
      <alignment horizontal="center"/>
    </xf>
    <xf numFmtId="2" fontId="9" fillId="0" borderId="10" xfId="0" applyNumberFormat="1" applyFont="1" applyBorder="1" applyAlignment="1">
      <alignment horizontal="center"/>
    </xf>
    <xf numFmtId="0" fontId="1" fillId="3" borderId="5" xfId="0" applyFont="1" applyFill="1" applyBorder="1"/>
    <xf numFmtId="0" fontId="0" fillId="3" borderId="5" xfId="0" applyFill="1" applyBorder="1"/>
    <xf numFmtId="0" fontId="10" fillId="0" borderId="0" xfId="0" applyFont="1"/>
    <xf numFmtId="0" fontId="7" fillId="0" borderId="14" xfId="0" applyFont="1" applyBorder="1"/>
    <xf numFmtId="0" fontId="8" fillId="0" borderId="14" xfId="0" applyFont="1" applyBorder="1" applyAlignment="1">
      <alignment horizontal="center"/>
    </xf>
    <xf numFmtId="0" fontId="0" fillId="4" borderId="11" xfId="0" applyFill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4" borderId="13" xfId="0" applyFill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7" fillId="0" borderId="0" xfId="0" applyFont="1" applyProtection="1"/>
    <xf numFmtId="0" fontId="1" fillId="2" borderId="5" xfId="0" applyFont="1" applyFill="1" applyBorder="1" applyProtection="1"/>
    <xf numFmtId="0" fontId="5" fillId="0" borderId="7" xfId="0" applyFont="1" applyBorder="1" applyProtection="1"/>
    <xf numFmtId="0" fontId="0" fillId="0" borderId="7" xfId="0" applyBorder="1" applyProtection="1"/>
    <xf numFmtId="0" fontId="1" fillId="3" borderId="5" xfId="0" applyFont="1" applyFill="1" applyBorder="1" applyProtection="1"/>
    <xf numFmtId="0" fontId="0" fillId="3" borderId="5" xfId="0" applyFill="1" applyBorder="1" applyProtection="1"/>
    <xf numFmtId="0" fontId="0" fillId="0" borderId="9" xfId="0" applyBorder="1" applyProtection="1"/>
    <xf numFmtId="0" fontId="0" fillId="3" borderId="12" xfId="0" applyFill="1" applyBorder="1" applyProtection="1"/>
    <xf numFmtId="0" fontId="7" fillId="0" borderId="0" xfId="0" applyFont="1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5" fillId="0" borderId="7" xfId="0" applyFont="1" applyBorder="1" applyAlignment="1" applyProtection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1</xdr:row>
          <xdr:rowOff>0</xdr:rowOff>
        </xdr:from>
        <xdr:to>
          <xdr:col>5</xdr:col>
          <xdr:colOff>381000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Calibri"/>
                </a:rPr>
                <a:t>Push to calculate the OASIS score</a:t>
              </a:r>
            </a:p>
          </xdr:txBody>
        </xdr:sp>
        <xdr:clientData fLocksWithSheet="0" fPrintsWithSheet="0"/>
      </xdr:twoCellAnchor>
    </mc:Choice>
    <mc:Fallback/>
  </mc:AlternateContent>
  <xdr:twoCellAnchor>
    <xdr:from>
      <xdr:col>3</xdr:col>
      <xdr:colOff>428626</xdr:colOff>
      <xdr:row>4</xdr:row>
      <xdr:rowOff>180975</xdr:rowOff>
    </xdr:from>
    <xdr:to>
      <xdr:col>4</xdr:col>
      <xdr:colOff>581026</xdr:colOff>
      <xdr:row>6</xdr:row>
      <xdr:rowOff>0</xdr:rowOff>
    </xdr:to>
    <xdr:sp macro="" textlink="">
      <xdr:nvSpPr>
        <xdr:cNvPr id="3" name="TextBox 2"/>
        <xdr:cNvSpPr txBox="1"/>
      </xdr:nvSpPr>
      <xdr:spPr>
        <a:xfrm>
          <a:off x="4448176" y="952500"/>
          <a:ext cx="762000" cy="209550"/>
        </a:xfrm>
        <a:prstGeom prst="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 anchorCtr="0"/>
        <a:lstStyle/>
        <a:p>
          <a:r>
            <a:rPr lang="en-US" sz="1200" b="1">
              <a:solidFill>
                <a:sysClr val="windowText" lastClr="000000"/>
              </a:solidFill>
            </a:rPr>
            <a:t>OASIS =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1"/>
  <sheetViews>
    <sheetView workbookViewId="0"/>
  </sheetViews>
  <sheetFormatPr defaultRowHeight="15" x14ac:dyDescent="0.25"/>
  <cols>
    <col min="1" max="1" width="30.140625" customWidth="1"/>
    <col min="2" max="2" width="60.42578125" customWidth="1"/>
  </cols>
  <sheetData>
    <row r="1" spans="1:3" ht="15.75" x14ac:dyDescent="0.25">
      <c r="A1" s="1" t="s">
        <v>0</v>
      </c>
      <c r="B1" s="1"/>
      <c r="C1" s="1"/>
    </row>
    <row r="3" spans="1:3" ht="63" x14ac:dyDescent="0.25">
      <c r="A3" s="2" t="s">
        <v>2</v>
      </c>
      <c r="B3" s="3" t="s">
        <v>1</v>
      </c>
    </row>
    <row r="5" spans="1:3" x14ac:dyDescent="0.25">
      <c r="A5" s="4" t="s">
        <v>3</v>
      </c>
      <c r="B5" s="5" t="s">
        <v>4</v>
      </c>
    </row>
    <row r="7" spans="1:3" x14ac:dyDescent="0.25">
      <c r="A7" s="4" t="s">
        <v>5</v>
      </c>
      <c r="B7" s="5" t="s">
        <v>6</v>
      </c>
    </row>
    <row r="9" spans="1:3" x14ac:dyDescent="0.25">
      <c r="A9" s="4" t="s">
        <v>7</v>
      </c>
      <c r="B9" s="5" t="s">
        <v>8</v>
      </c>
    </row>
    <row r="11" spans="1:3" x14ac:dyDescent="0.25">
      <c r="A11" s="4" t="s">
        <v>9</v>
      </c>
      <c r="B11" s="51" t="s">
        <v>10</v>
      </c>
    </row>
    <row r="12" spans="1:3" x14ac:dyDescent="0.25">
      <c r="B12" s="52"/>
    </row>
    <row r="13" spans="1:3" x14ac:dyDescent="0.25">
      <c r="B13" s="52"/>
    </row>
    <row r="14" spans="1:3" x14ac:dyDescent="0.25">
      <c r="B14" s="6" t="s">
        <v>11</v>
      </c>
    </row>
    <row r="15" spans="1:3" x14ac:dyDescent="0.25">
      <c r="B15" s="6" t="s">
        <v>12</v>
      </c>
    </row>
    <row r="16" spans="1:3" x14ac:dyDescent="0.25">
      <c r="B16" s="6" t="s">
        <v>13</v>
      </c>
    </row>
    <row r="17" spans="1:2" x14ac:dyDescent="0.25">
      <c r="B17" s="6" t="s">
        <v>14</v>
      </c>
    </row>
    <row r="18" spans="1:2" x14ac:dyDescent="0.25">
      <c r="B18" s="7" t="s">
        <v>15</v>
      </c>
    </row>
    <row r="20" spans="1:2" ht="18.75" x14ac:dyDescent="0.3">
      <c r="A20" s="33" t="s">
        <v>44</v>
      </c>
    </row>
    <row r="21" spans="1:2" ht="18.75" x14ac:dyDescent="0.3">
      <c r="A21" s="33" t="s">
        <v>45</v>
      </c>
    </row>
  </sheetData>
  <sheetProtection password="CA01" sheet="1" objects="1" scenarios="1" selectLockedCells="1" selectUnlockedCells="1"/>
  <mergeCells count="1">
    <mergeCell ref="B11:B1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G25"/>
  <sheetViews>
    <sheetView tabSelected="1" workbookViewId="0">
      <selection activeCell="G7" sqref="G7"/>
    </sheetView>
  </sheetViews>
  <sheetFormatPr defaultRowHeight="15" x14ac:dyDescent="0.25"/>
  <cols>
    <col min="1" max="1" width="42" style="39" customWidth="1"/>
    <col min="2" max="2" width="9.140625" style="50"/>
    <col min="3" max="16384" width="9.140625" style="39"/>
  </cols>
  <sheetData>
    <row r="1" spans="1:7" ht="19.5" thickBot="1" x14ac:dyDescent="0.35">
      <c r="A1" s="41" t="s">
        <v>26</v>
      </c>
      <c r="B1" s="49" t="s">
        <v>39</v>
      </c>
    </row>
    <row r="2" spans="1:7" x14ac:dyDescent="0.25">
      <c r="A2" s="42" t="s">
        <v>16</v>
      </c>
      <c r="B2" s="36">
        <v>93</v>
      </c>
    </row>
    <row r="3" spans="1:7" x14ac:dyDescent="0.25">
      <c r="A3" s="43" t="s">
        <v>17</v>
      </c>
      <c r="B3" s="37"/>
    </row>
    <row r="4" spans="1:7" ht="11.25" customHeight="1" thickBot="1" x14ac:dyDescent="0.3">
      <c r="A4" s="44"/>
      <c r="B4" s="37"/>
      <c r="G4" s="39" t="s">
        <v>20</v>
      </c>
    </row>
    <row r="5" spans="1:7" x14ac:dyDescent="0.25">
      <c r="A5" s="42" t="s">
        <v>28</v>
      </c>
      <c r="B5" s="36">
        <v>14</v>
      </c>
      <c r="F5" s="39" t="s">
        <v>20</v>
      </c>
    </row>
    <row r="6" spans="1:7" ht="15.75" x14ac:dyDescent="0.25">
      <c r="A6" s="43" t="s">
        <v>21</v>
      </c>
      <c r="B6" s="37"/>
      <c r="F6" s="40">
        <v>20</v>
      </c>
      <c r="G6" s="39" t="s">
        <v>20</v>
      </c>
    </row>
    <row r="7" spans="1:7" ht="11.25" customHeight="1" thickBot="1" x14ac:dyDescent="0.3">
      <c r="A7" s="44"/>
      <c r="B7" s="37"/>
      <c r="F7" s="39" t="s">
        <v>20</v>
      </c>
    </row>
    <row r="8" spans="1:7" x14ac:dyDescent="0.25">
      <c r="A8" s="42" t="s">
        <v>22</v>
      </c>
      <c r="B8" s="36">
        <v>36.200000000000003</v>
      </c>
      <c r="F8" s="39" t="s">
        <v>20</v>
      </c>
    </row>
    <row r="9" spans="1:7" ht="18.75" customHeight="1" x14ac:dyDescent="0.25">
      <c r="A9" s="53" t="s">
        <v>40</v>
      </c>
      <c r="B9" s="37"/>
    </row>
    <row r="10" spans="1:7" ht="19.5" customHeight="1" x14ac:dyDescent="0.25">
      <c r="A10" s="53"/>
      <c r="B10" s="37"/>
    </row>
    <row r="11" spans="1:7" ht="11.25" customHeight="1" thickBot="1" x14ac:dyDescent="0.3">
      <c r="A11" s="44"/>
      <c r="B11" s="37"/>
    </row>
    <row r="12" spans="1:7" x14ac:dyDescent="0.25">
      <c r="A12" s="42" t="s">
        <v>18</v>
      </c>
      <c r="B12" s="36">
        <v>31.33</v>
      </c>
    </row>
    <row r="13" spans="1:7" x14ac:dyDescent="0.25">
      <c r="A13" s="43" t="s">
        <v>19</v>
      </c>
      <c r="B13" s="37"/>
    </row>
    <row r="14" spans="1:7" ht="11.25" customHeight="1" thickBot="1" x14ac:dyDescent="0.3">
      <c r="A14" s="44"/>
      <c r="B14" s="37"/>
    </row>
    <row r="15" spans="1:7" x14ac:dyDescent="0.25">
      <c r="A15" s="42" t="s">
        <v>31</v>
      </c>
      <c r="B15" s="36">
        <v>808.7</v>
      </c>
    </row>
    <row r="16" spans="1:7" ht="11.25" customHeight="1" thickBot="1" x14ac:dyDescent="0.3">
      <c r="A16" s="43" t="s">
        <v>20</v>
      </c>
      <c r="B16" s="37"/>
    </row>
    <row r="17" spans="1:2" x14ac:dyDescent="0.25">
      <c r="A17" s="42" t="s">
        <v>32</v>
      </c>
      <c r="B17" s="36">
        <v>15</v>
      </c>
    </row>
    <row r="18" spans="1:2" ht="11.25" customHeight="1" thickBot="1" x14ac:dyDescent="0.3">
      <c r="A18" s="43" t="s">
        <v>20</v>
      </c>
      <c r="B18" s="37"/>
    </row>
    <row r="19" spans="1:2" x14ac:dyDescent="0.25">
      <c r="A19" s="42" t="s">
        <v>46</v>
      </c>
      <c r="B19" s="36">
        <v>4.41</v>
      </c>
    </row>
    <row r="20" spans="1:2" ht="11.25" customHeight="1" thickBot="1" x14ac:dyDescent="0.3">
      <c r="A20" s="43" t="s">
        <v>20</v>
      </c>
      <c r="B20" s="37"/>
    </row>
    <row r="21" spans="1:2" x14ac:dyDescent="0.25">
      <c r="A21" s="45" t="s">
        <v>34</v>
      </c>
      <c r="B21" s="36">
        <v>73</v>
      </c>
    </row>
    <row r="22" spans="1:2" ht="11.25" customHeight="1" thickBot="1" x14ac:dyDescent="0.3">
      <c r="A22" s="43" t="s">
        <v>20</v>
      </c>
      <c r="B22" s="37"/>
    </row>
    <row r="23" spans="1:2" x14ac:dyDescent="0.25">
      <c r="A23" s="46" t="s">
        <v>41</v>
      </c>
      <c r="B23" s="36" t="s">
        <v>43</v>
      </c>
    </row>
    <row r="24" spans="1:2" ht="11.25" customHeight="1" thickBot="1" x14ac:dyDescent="0.3">
      <c r="A24" s="47"/>
      <c r="B24" s="37"/>
    </row>
    <row r="25" spans="1:2" ht="15.75" thickBot="1" x14ac:dyDescent="0.3">
      <c r="A25" s="48" t="s">
        <v>42</v>
      </c>
      <c r="B25" s="38" t="s">
        <v>47</v>
      </c>
    </row>
  </sheetData>
  <sheetProtection password="CA01" sheet="1" objects="1" scenarios="1" selectLockedCells="1"/>
  <mergeCells count="1">
    <mergeCell ref="A9:A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locked="0" defaultSize="0" print="0" autoFill="0" autoPict="0" macro="[0]!CalcOASIS">
                <anchor moveWithCells="1" sizeWithCells="1">
                  <from>
                    <xdr:col>3</xdr:col>
                    <xdr:colOff>85725</xdr:colOff>
                    <xdr:row>1</xdr:row>
                    <xdr:rowOff>0</xdr:rowOff>
                  </from>
                  <to>
                    <xdr:col>5</xdr:col>
                    <xdr:colOff>381000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55"/>
  <sheetViews>
    <sheetView workbookViewId="0">
      <selection activeCell="H11" sqref="H11"/>
    </sheetView>
  </sheetViews>
  <sheetFormatPr defaultRowHeight="15" x14ac:dyDescent="0.25"/>
  <cols>
    <col min="1" max="1" width="36.85546875" bestFit="1" customWidth="1"/>
    <col min="2" max="2" width="9.42578125" style="8" bestFit="1" customWidth="1"/>
    <col min="3" max="3" width="9.5703125" style="8" bestFit="1" customWidth="1"/>
    <col min="4" max="4" width="7.42578125" style="8" bestFit="1" customWidth="1"/>
    <col min="5" max="5" width="5.140625" style="8" customWidth="1"/>
    <col min="6" max="6" width="6" style="8" customWidth="1"/>
  </cols>
  <sheetData>
    <row r="1" spans="1:6" ht="18.75" customHeight="1" thickBot="1" x14ac:dyDescent="0.35">
      <c r="A1" s="34" t="s">
        <v>26</v>
      </c>
      <c r="B1" s="35" t="s">
        <v>29</v>
      </c>
      <c r="C1" s="35" t="s">
        <v>30</v>
      </c>
      <c r="D1" s="35" t="s">
        <v>27</v>
      </c>
    </row>
    <row r="2" spans="1:6" x14ac:dyDescent="0.25">
      <c r="A2" s="9" t="s">
        <v>16</v>
      </c>
      <c r="B2" s="17">
        <v>1</v>
      </c>
      <c r="C2" s="17">
        <v>32</v>
      </c>
      <c r="D2" s="14">
        <v>4</v>
      </c>
      <c r="E2" s="8">
        <f>IF(AND('OASIS Calculation'!B2 &gt;= Ranges!B2,'OASIS Calculation'!B2 &lt;= Ranges!C2), 1,0)</f>
        <v>0</v>
      </c>
      <c r="F2" s="8">
        <f>D2*E2</f>
        <v>0</v>
      </c>
    </row>
    <row r="3" spans="1:6" ht="12.75" customHeight="1" x14ac:dyDescent="0.25">
      <c r="A3" s="10" t="s">
        <v>17</v>
      </c>
      <c r="B3" s="18">
        <v>33</v>
      </c>
      <c r="C3" s="18">
        <v>88</v>
      </c>
      <c r="D3" s="15">
        <v>0</v>
      </c>
      <c r="E3" s="8">
        <f>IF(AND('OASIS Calculation'!B$2 &gt;= Ranges!B3,'OASIS Calculation'!B$2&lt;= Ranges!C3), 1,0)</f>
        <v>0</v>
      </c>
      <c r="F3" s="8">
        <f t="shared" ref="F3:F43" si="0">D3*E3</f>
        <v>0</v>
      </c>
    </row>
    <row r="4" spans="1:6" ht="12.75" customHeight="1" x14ac:dyDescent="0.25">
      <c r="A4" s="11"/>
      <c r="B4" s="18">
        <v>89</v>
      </c>
      <c r="C4" s="18">
        <v>106</v>
      </c>
      <c r="D4" s="15">
        <v>1</v>
      </c>
      <c r="E4" s="8">
        <f>IF(AND('OASIS Calculation'!B$2 &gt;= Ranges!B4,'OASIS Calculation'!B$2&lt;= Ranges!C4), 1,0)</f>
        <v>1</v>
      </c>
      <c r="F4" s="8">
        <f t="shared" si="0"/>
        <v>1</v>
      </c>
    </row>
    <row r="5" spans="1:6" ht="12.75" customHeight="1" x14ac:dyDescent="0.25">
      <c r="A5" s="11"/>
      <c r="B5" s="18">
        <v>107</v>
      </c>
      <c r="C5" s="18">
        <v>125</v>
      </c>
      <c r="D5" s="15">
        <v>3</v>
      </c>
      <c r="E5" s="8">
        <f>IF(AND('OASIS Calculation'!B$2 &gt;= Ranges!B5,'OASIS Calculation'!B$2&lt;= Ranges!C5), 1,0)</f>
        <v>0</v>
      </c>
      <c r="F5" s="8">
        <f t="shared" si="0"/>
        <v>0</v>
      </c>
    </row>
    <row r="6" spans="1:6" ht="12.75" customHeight="1" thickBot="1" x14ac:dyDescent="0.3">
      <c r="A6" s="12"/>
      <c r="B6" s="19">
        <v>126</v>
      </c>
      <c r="C6" s="19">
        <v>200</v>
      </c>
      <c r="D6" s="16">
        <v>6</v>
      </c>
      <c r="E6" s="8">
        <f>IF(AND('OASIS Calculation'!B$2 &gt;= Ranges!B6,'OASIS Calculation'!B$2&lt;= Ranges!C6), 1,0)</f>
        <v>0</v>
      </c>
      <c r="F6" s="8">
        <f t="shared" si="0"/>
        <v>0</v>
      </c>
    </row>
    <row r="7" spans="1:6" ht="15.75" thickBot="1" x14ac:dyDescent="0.3">
      <c r="B7" s="13" t="s">
        <v>29</v>
      </c>
      <c r="C7" s="13" t="s">
        <v>30</v>
      </c>
      <c r="D7" s="13" t="s">
        <v>27</v>
      </c>
    </row>
    <row r="8" spans="1:6" x14ac:dyDescent="0.25">
      <c r="A8" s="9" t="s">
        <v>28</v>
      </c>
      <c r="B8" s="20">
        <v>1</v>
      </c>
      <c r="C8" s="20">
        <v>5</v>
      </c>
      <c r="D8" s="14">
        <v>10</v>
      </c>
      <c r="E8" s="8">
        <f>IF(AND('OASIS Calculation'!B$5 &gt;= Ranges!B8,'OASIS Calculation'!B$5&lt;= Ranges!C8), 1,0)</f>
        <v>0</v>
      </c>
      <c r="F8" s="8">
        <f t="shared" si="0"/>
        <v>0</v>
      </c>
    </row>
    <row r="9" spans="1:6" ht="13.5" customHeight="1" x14ac:dyDescent="0.25">
      <c r="A9" s="10" t="s">
        <v>21</v>
      </c>
      <c r="B9" s="18">
        <v>6</v>
      </c>
      <c r="C9" s="18">
        <v>12</v>
      </c>
      <c r="D9" s="15">
        <v>1</v>
      </c>
      <c r="E9" s="8">
        <f>IF(AND('OASIS Calculation'!B$5 &gt;= Ranges!B9,'OASIS Calculation'!B$5&lt;= Ranges!C9), 1,0)</f>
        <v>0</v>
      </c>
      <c r="F9" s="8">
        <f t="shared" si="0"/>
        <v>0</v>
      </c>
    </row>
    <row r="10" spans="1:6" ht="13.5" customHeight="1" x14ac:dyDescent="0.25">
      <c r="A10" s="10"/>
      <c r="B10" s="18">
        <v>12</v>
      </c>
      <c r="C10" s="18">
        <v>22</v>
      </c>
      <c r="D10" s="15">
        <v>0</v>
      </c>
      <c r="E10" s="8">
        <f>IF(AND('OASIS Calculation'!B$5 &gt;= Ranges!B10,'OASIS Calculation'!B$5&lt;= Ranges!C10), 1,0)</f>
        <v>1</v>
      </c>
      <c r="F10" s="8">
        <f t="shared" si="0"/>
        <v>0</v>
      </c>
    </row>
    <row r="11" spans="1:6" ht="13.5" customHeight="1" x14ac:dyDescent="0.25">
      <c r="A11" s="10"/>
      <c r="B11" s="21">
        <v>23</v>
      </c>
      <c r="C11" s="21">
        <v>30</v>
      </c>
      <c r="D11" s="15">
        <v>1</v>
      </c>
      <c r="E11" s="8">
        <f>IF(AND('OASIS Calculation'!B$5 &gt;= Ranges!B11,'OASIS Calculation'!B$5&lt;= Ranges!C11), 1,0)</f>
        <v>0</v>
      </c>
      <c r="F11" s="8">
        <f t="shared" si="0"/>
        <v>0</v>
      </c>
    </row>
    <row r="12" spans="1:6" ht="13.5" customHeight="1" x14ac:dyDescent="0.25">
      <c r="A12" s="10"/>
      <c r="B12" s="21">
        <v>31</v>
      </c>
      <c r="C12" s="21">
        <v>44</v>
      </c>
      <c r="D12" s="15">
        <v>6</v>
      </c>
      <c r="E12" s="8">
        <f>IF(AND('OASIS Calculation'!B$5 &gt;= Ranges!B12,'OASIS Calculation'!B$5&lt;= Ranges!C12), 1,0)</f>
        <v>0</v>
      </c>
      <c r="F12" s="8">
        <f t="shared" si="0"/>
        <v>0</v>
      </c>
    </row>
    <row r="13" spans="1:6" ht="13.5" customHeight="1" thickBot="1" x14ac:dyDescent="0.3">
      <c r="A13" s="12"/>
      <c r="B13" s="19">
        <v>45</v>
      </c>
      <c r="C13" s="19">
        <v>100</v>
      </c>
      <c r="D13" s="16">
        <v>9</v>
      </c>
      <c r="E13" s="8">
        <f>IF(AND('OASIS Calculation'!B$5 &gt;= Ranges!B13,'OASIS Calculation'!B$5&lt;= Ranges!C13), 1,0)</f>
        <v>0</v>
      </c>
      <c r="F13" s="8">
        <f t="shared" si="0"/>
        <v>0</v>
      </c>
    </row>
    <row r="14" spans="1:6" ht="15.75" thickBot="1" x14ac:dyDescent="0.3">
      <c r="B14" s="13" t="s">
        <v>29</v>
      </c>
      <c r="C14" s="13" t="s">
        <v>30</v>
      </c>
      <c r="D14" s="13" t="s">
        <v>27</v>
      </c>
    </row>
    <row r="15" spans="1:6" x14ac:dyDescent="0.25">
      <c r="A15" s="9" t="s">
        <v>22</v>
      </c>
      <c r="B15" s="20">
        <v>25</v>
      </c>
      <c r="C15" s="20">
        <v>33.21</v>
      </c>
      <c r="D15" s="14">
        <v>3</v>
      </c>
      <c r="E15" s="8">
        <f>IF(AND('OASIS Calculation'!B$8&gt;= Ranges!B15,'OASIS Calculation'!B$8&lt;= Ranges!C15), 1,0)</f>
        <v>0</v>
      </c>
      <c r="F15" s="8">
        <f t="shared" si="0"/>
        <v>0</v>
      </c>
    </row>
    <row r="16" spans="1:6" ht="13.5" customHeight="1" x14ac:dyDescent="0.25">
      <c r="A16" s="10" t="s">
        <v>23</v>
      </c>
      <c r="B16" s="21">
        <v>33.22</v>
      </c>
      <c r="C16" s="21">
        <v>35.93</v>
      </c>
      <c r="D16" s="15">
        <v>4</v>
      </c>
      <c r="E16" s="8">
        <f>IF(AND('OASIS Calculation'!B$8&gt;= Ranges!B16,'OASIS Calculation'!B$8&lt;= Ranges!C16), 1,0)</f>
        <v>0</v>
      </c>
      <c r="F16" s="8">
        <f t="shared" si="0"/>
        <v>0</v>
      </c>
    </row>
    <row r="17" spans="1:6" ht="13.5" customHeight="1" x14ac:dyDescent="0.25">
      <c r="A17" s="10" t="s">
        <v>24</v>
      </c>
      <c r="B17" s="21">
        <v>35.94</v>
      </c>
      <c r="C17" s="21">
        <v>36.39</v>
      </c>
      <c r="D17" s="15">
        <v>2</v>
      </c>
      <c r="E17" s="8">
        <f>IF(AND('OASIS Calculation'!B$8&gt;= Ranges!B17,'OASIS Calculation'!B$8&lt;= Ranges!C17), 1,0)</f>
        <v>1</v>
      </c>
      <c r="F17" s="8">
        <f t="shared" si="0"/>
        <v>2</v>
      </c>
    </row>
    <row r="18" spans="1:6" ht="13.5" customHeight="1" x14ac:dyDescent="0.25">
      <c r="A18" s="10" t="s">
        <v>25</v>
      </c>
      <c r="B18" s="22">
        <v>36.4</v>
      </c>
      <c r="C18" s="21">
        <v>36.880000000000003</v>
      </c>
      <c r="D18" s="15">
        <v>0</v>
      </c>
      <c r="E18" s="8">
        <f>IF(AND('OASIS Calculation'!B$8&gt;= Ranges!B18,'OASIS Calculation'!B$8&lt;= Ranges!C18), 1,0)</f>
        <v>0</v>
      </c>
      <c r="F18" s="8">
        <f t="shared" si="0"/>
        <v>0</v>
      </c>
    </row>
    <row r="19" spans="1:6" ht="13.5" customHeight="1" x14ac:dyDescent="0.25">
      <c r="A19" s="11"/>
      <c r="B19" s="21">
        <v>36.89</v>
      </c>
      <c r="C19" s="21">
        <v>39.880000000000003</v>
      </c>
      <c r="D19" s="15">
        <v>2</v>
      </c>
      <c r="E19" s="8">
        <f>IF(AND('OASIS Calculation'!B$8&gt;= Ranges!B19,'OASIS Calculation'!B$8&lt;= Ranges!C19), 1,0)</f>
        <v>0</v>
      </c>
      <c r="F19" s="8">
        <f t="shared" si="0"/>
        <v>0</v>
      </c>
    </row>
    <row r="20" spans="1:6" ht="13.5" customHeight="1" thickBot="1" x14ac:dyDescent="0.3">
      <c r="A20" s="12"/>
      <c r="B20" s="23">
        <v>39.89</v>
      </c>
      <c r="C20" s="24">
        <v>45</v>
      </c>
      <c r="D20" s="16">
        <v>6</v>
      </c>
      <c r="E20" s="8">
        <f>IF(AND('OASIS Calculation'!B$8&gt;= Ranges!B20,'OASIS Calculation'!B$8&lt;= Ranges!C20), 1,0)</f>
        <v>0</v>
      </c>
      <c r="F20" s="8">
        <f t="shared" si="0"/>
        <v>0</v>
      </c>
    </row>
    <row r="21" spans="1:6" ht="15.75" thickBot="1" x14ac:dyDescent="0.3">
      <c r="B21" s="13" t="s">
        <v>29</v>
      </c>
      <c r="C21" s="13" t="s">
        <v>30</v>
      </c>
      <c r="D21" s="13" t="s">
        <v>27</v>
      </c>
    </row>
    <row r="22" spans="1:6" x14ac:dyDescent="0.25">
      <c r="A22" s="9" t="s">
        <v>18</v>
      </c>
      <c r="B22" s="25">
        <v>5</v>
      </c>
      <c r="C22" s="17">
        <v>20.65</v>
      </c>
      <c r="D22" s="14">
        <v>4</v>
      </c>
      <c r="E22" s="8">
        <f>IF(AND('OASIS Calculation'!B$12&gt;= Ranges!B22,'OASIS Calculation'!B$12&lt;= Ranges!C22), 1,0)</f>
        <v>0</v>
      </c>
      <c r="F22" s="8">
        <f t="shared" si="0"/>
        <v>0</v>
      </c>
    </row>
    <row r="23" spans="1:6" ht="12.75" customHeight="1" x14ac:dyDescent="0.25">
      <c r="A23" s="10" t="s">
        <v>19</v>
      </c>
      <c r="B23" s="18">
        <v>20.66</v>
      </c>
      <c r="C23" s="18">
        <v>50.99</v>
      </c>
      <c r="D23" s="15">
        <v>3</v>
      </c>
      <c r="E23" s="8">
        <f>IF(AND('OASIS Calculation'!B$12&gt;= Ranges!B23,'OASIS Calculation'!B$12&lt;= Ranges!C23), 1,0)</f>
        <v>1</v>
      </c>
      <c r="F23" s="8">
        <f t="shared" si="0"/>
        <v>3</v>
      </c>
    </row>
    <row r="24" spans="1:6" ht="12.75" customHeight="1" x14ac:dyDescent="0.25">
      <c r="A24" s="11"/>
      <c r="B24" s="26">
        <v>51</v>
      </c>
      <c r="C24" s="18">
        <v>61.32</v>
      </c>
      <c r="D24" s="15">
        <v>2</v>
      </c>
      <c r="E24" s="8">
        <f>IF(AND('OASIS Calculation'!B$12&gt;= Ranges!B24,'OASIS Calculation'!B$12&lt;= Ranges!C24), 1,0)</f>
        <v>0</v>
      </c>
      <c r="F24" s="8">
        <f t="shared" si="0"/>
        <v>0</v>
      </c>
    </row>
    <row r="25" spans="1:6" ht="12.75" customHeight="1" x14ac:dyDescent="0.25">
      <c r="A25" s="11"/>
      <c r="B25" s="18">
        <v>61.33</v>
      </c>
      <c r="C25" s="18">
        <v>143.44</v>
      </c>
      <c r="D25" s="15">
        <v>0</v>
      </c>
      <c r="E25" s="8">
        <f>IF(AND('OASIS Calculation'!B$12&gt;= Ranges!B25,'OASIS Calculation'!B$12&lt;= Ranges!C25), 1,0)</f>
        <v>0</v>
      </c>
      <c r="F25" s="8">
        <f t="shared" si="0"/>
        <v>0</v>
      </c>
    </row>
    <row r="26" spans="1:6" ht="12.75" customHeight="1" thickBot="1" x14ac:dyDescent="0.3">
      <c r="A26" s="12"/>
      <c r="B26" s="19">
        <v>143.44999999999999</v>
      </c>
      <c r="C26" s="19">
        <v>240</v>
      </c>
      <c r="D26" s="16">
        <v>3</v>
      </c>
      <c r="E26" s="8">
        <f>IF(AND('OASIS Calculation'!B$12&gt;= Ranges!B26,'OASIS Calculation'!B$12&lt;= Ranges!C26), 1,0)</f>
        <v>0</v>
      </c>
      <c r="F26" s="8">
        <f t="shared" si="0"/>
        <v>0</v>
      </c>
    </row>
    <row r="27" spans="1:6" ht="15.75" thickBot="1" x14ac:dyDescent="0.3">
      <c r="B27" s="13" t="s">
        <v>29</v>
      </c>
      <c r="C27" s="13" t="s">
        <v>30</v>
      </c>
      <c r="D27" s="13" t="s">
        <v>27</v>
      </c>
    </row>
    <row r="28" spans="1:6" x14ac:dyDescent="0.25">
      <c r="A28" s="9" t="s">
        <v>31</v>
      </c>
      <c r="B28" s="27">
        <v>1</v>
      </c>
      <c r="C28" s="27">
        <v>670</v>
      </c>
      <c r="D28" s="14">
        <v>10</v>
      </c>
      <c r="E28" s="8">
        <f>IF(AND('OASIS Calculation'!B$15&gt;= Ranges!B28,'OASIS Calculation'!B$15&lt;= Ranges!C28), 1,0)</f>
        <v>0</v>
      </c>
      <c r="F28" s="8">
        <f t="shared" si="0"/>
        <v>0</v>
      </c>
    </row>
    <row r="29" spans="1:6" ht="12" customHeight="1" x14ac:dyDescent="0.25">
      <c r="A29" s="10" t="s">
        <v>20</v>
      </c>
      <c r="B29" s="28">
        <v>671</v>
      </c>
      <c r="C29" s="28">
        <v>1426</v>
      </c>
      <c r="D29" s="15">
        <v>5</v>
      </c>
      <c r="E29" s="8">
        <f>IF(AND('OASIS Calculation'!B$15&gt;= Ranges!B29,'OASIS Calculation'!B$15&lt;= Ranges!C29), 1,0)</f>
        <v>1</v>
      </c>
      <c r="F29" s="8">
        <f t="shared" si="0"/>
        <v>5</v>
      </c>
    </row>
    <row r="30" spans="1:6" ht="12" customHeight="1" x14ac:dyDescent="0.25">
      <c r="A30" s="11"/>
      <c r="B30" s="28">
        <v>1427</v>
      </c>
      <c r="C30" s="28">
        <v>2543</v>
      </c>
      <c r="D30" s="15">
        <v>1</v>
      </c>
      <c r="E30" s="8">
        <f>IF(AND('OASIS Calculation'!B$15&gt;= Ranges!B30,'OASIS Calculation'!B$15&lt;= Ranges!C30), 1,0)</f>
        <v>0</v>
      </c>
      <c r="F30" s="8">
        <f t="shared" si="0"/>
        <v>0</v>
      </c>
    </row>
    <row r="31" spans="1:6" ht="12" customHeight="1" x14ac:dyDescent="0.25">
      <c r="A31" s="11"/>
      <c r="B31" s="28">
        <v>2544</v>
      </c>
      <c r="C31" s="28">
        <v>6896</v>
      </c>
      <c r="D31" s="15">
        <v>0</v>
      </c>
      <c r="E31" s="8">
        <f>IF(AND('OASIS Calculation'!B$15&gt;= Ranges!B31,'OASIS Calculation'!B$15&lt;= Ranges!C31), 1,0)</f>
        <v>0</v>
      </c>
      <c r="F31" s="8">
        <f t="shared" si="0"/>
        <v>0</v>
      </c>
    </row>
    <row r="32" spans="1:6" ht="12" customHeight="1" thickBot="1" x14ac:dyDescent="0.3">
      <c r="A32" s="12"/>
      <c r="B32" s="29">
        <v>6897</v>
      </c>
      <c r="C32" s="29">
        <v>12000</v>
      </c>
      <c r="D32" s="16">
        <v>8</v>
      </c>
      <c r="E32" s="8">
        <f>IF(AND('OASIS Calculation'!B$15&gt;= Ranges!B32,'OASIS Calculation'!B$15&lt;= Ranges!C32), 1,0)</f>
        <v>0</v>
      </c>
      <c r="F32" s="8">
        <f t="shared" si="0"/>
        <v>0</v>
      </c>
    </row>
    <row r="33" spans="1:6" ht="15.75" thickBot="1" x14ac:dyDescent="0.3">
      <c r="B33" s="13" t="s">
        <v>29</v>
      </c>
      <c r="C33" s="13" t="s">
        <v>30</v>
      </c>
      <c r="D33" s="13" t="s">
        <v>27</v>
      </c>
    </row>
    <row r="34" spans="1:6" x14ac:dyDescent="0.25">
      <c r="A34" s="9" t="s">
        <v>32</v>
      </c>
      <c r="B34" s="27">
        <v>3</v>
      </c>
      <c r="C34" s="27">
        <v>7</v>
      </c>
      <c r="D34" s="14">
        <v>10</v>
      </c>
      <c r="E34" s="8">
        <f>IF(AND('OASIS Calculation'!B$17&gt;= Ranges!B34,'OASIS Calculation'!B$17&lt;= Ranges!C34), 1,0)</f>
        <v>0</v>
      </c>
      <c r="F34" s="8">
        <f t="shared" si="0"/>
        <v>0</v>
      </c>
    </row>
    <row r="35" spans="1:6" ht="12.75" customHeight="1" x14ac:dyDescent="0.25">
      <c r="A35" s="10" t="s">
        <v>20</v>
      </c>
      <c r="B35" s="28">
        <v>8</v>
      </c>
      <c r="C35" s="28">
        <v>13</v>
      </c>
      <c r="D35" s="15">
        <v>4</v>
      </c>
      <c r="E35" s="8">
        <f>IF(AND('OASIS Calculation'!B$17&gt;= Ranges!B35,'OASIS Calculation'!B$17&lt;= Ranges!C35), 1,0)</f>
        <v>0</v>
      </c>
      <c r="F35" s="8">
        <f t="shared" si="0"/>
        <v>0</v>
      </c>
    </row>
    <row r="36" spans="1:6" ht="12.75" customHeight="1" x14ac:dyDescent="0.25">
      <c r="A36" s="11"/>
      <c r="B36" s="28">
        <v>14</v>
      </c>
      <c r="C36" s="28">
        <v>14</v>
      </c>
      <c r="D36" s="15">
        <v>3</v>
      </c>
      <c r="E36" s="8">
        <f>IF(AND('OASIS Calculation'!B$17&gt;= Ranges!B36,'OASIS Calculation'!B$17&lt;= Ranges!C36), 1,0)</f>
        <v>0</v>
      </c>
      <c r="F36" s="8">
        <f t="shared" si="0"/>
        <v>0</v>
      </c>
    </row>
    <row r="37" spans="1:6" ht="12.75" customHeight="1" thickBot="1" x14ac:dyDescent="0.3">
      <c r="A37" s="12"/>
      <c r="B37" s="29">
        <v>15</v>
      </c>
      <c r="C37" s="29">
        <v>15</v>
      </c>
      <c r="D37" s="16">
        <v>0</v>
      </c>
      <c r="E37" s="8">
        <f>IF(AND('OASIS Calculation'!B$17&gt;= Ranges!B37,'OASIS Calculation'!B$17&lt;= Ranges!C37), 1,0)</f>
        <v>1</v>
      </c>
      <c r="F37" s="8">
        <f t="shared" si="0"/>
        <v>0</v>
      </c>
    </row>
    <row r="38" spans="1:6" ht="15.75" thickBot="1" x14ac:dyDescent="0.3">
      <c r="B38" s="13" t="s">
        <v>29</v>
      </c>
      <c r="C38" s="13" t="s">
        <v>30</v>
      </c>
      <c r="D38" s="13" t="s">
        <v>27</v>
      </c>
    </row>
    <row r="39" spans="1:6" x14ac:dyDescent="0.25">
      <c r="A39" s="9" t="s">
        <v>33</v>
      </c>
      <c r="B39" s="25">
        <v>0</v>
      </c>
      <c r="C39" s="25">
        <v>0.16</v>
      </c>
      <c r="D39" s="14">
        <v>5</v>
      </c>
      <c r="E39" s="8">
        <f>IF(AND('OASIS Calculation'!B$19&gt;= Ranges!B39,'OASIS Calculation'!B$19&lt;= Ranges!C39), 1,0)</f>
        <v>0</v>
      </c>
      <c r="F39" s="8">
        <f t="shared" si="0"/>
        <v>0</v>
      </c>
    </row>
    <row r="40" spans="1:6" ht="12" customHeight="1" x14ac:dyDescent="0.25">
      <c r="A40" s="10" t="s">
        <v>20</v>
      </c>
      <c r="B40" s="26">
        <v>0.17</v>
      </c>
      <c r="C40" s="26">
        <v>4.9400000000000004</v>
      </c>
      <c r="D40" s="15">
        <v>3</v>
      </c>
      <c r="E40" s="8">
        <f>IF(AND('OASIS Calculation'!B$19&gt;= Ranges!B40,'OASIS Calculation'!B$19&lt;= Ranges!C40), 1,0)</f>
        <v>1</v>
      </c>
      <c r="F40" s="8">
        <f t="shared" si="0"/>
        <v>3</v>
      </c>
    </row>
    <row r="41" spans="1:6" ht="12" customHeight="1" x14ac:dyDescent="0.25">
      <c r="A41" s="11"/>
      <c r="B41" s="26">
        <v>4.95</v>
      </c>
      <c r="C41" s="26">
        <v>24</v>
      </c>
      <c r="D41" s="15">
        <v>0</v>
      </c>
      <c r="E41" s="8">
        <f>IF(AND('OASIS Calculation'!B$19&gt;= Ranges!B41,'OASIS Calculation'!B$19&lt;= Ranges!C41), 1,0)</f>
        <v>0</v>
      </c>
      <c r="F41" s="8">
        <f t="shared" si="0"/>
        <v>0</v>
      </c>
    </row>
    <row r="42" spans="1:6" ht="12" customHeight="1" x14ac:dyDescent="0.25">
      <c r="A42" s="11"/>
      <c r="B42" s="26">
        <v>24.01</v>
      </c>
      <c r="C42" s="26">
        <v>311.8</v>
      </c>
      <c r="D42" s="15">
        <v>2</v>
      </c>
      <c r="E42" s="8">
        <f>IF(AND('OASIS Calculation'!B$19&gt;= Ranges!B42,'OASIS Calculation'!B$19&lt;= Ranges!C42), 1,0)</f>
        <v>0</v>
      </c>
      <c r="F42" s="8">
        <f t="shared" si="0"/>
        <v>0</v>
      </c>
    </row>
    <row r="43" spans="1:6" ht="12" customHeight="1" thickBot="1" x14ac:dyDescent="0.3">
      <c r="A43" s="12"/>
      <c r="B43" s="30">
        <v>311.81</v>
      </c>
      <c r="C43" s="30">
        <v>960</v>
      </c>
      <c r="D43" s="16">
        <v>1</v>
      </c>
      <c r="E43" s="8">
        <f>IF(AND('OASIS Calculation'!B$19&gt;= Ranges!B43,'OASIS Calculation'!B$19&lt;= Ranges!C43), 1,0)</f>
        <v>0</v>
      </c>
      <c r="F43" s="8">
        <f t="shared" si="0"/>
        <v>0</v>
      </c>
    </row>
    <row r="44" spans="1:6" ht="15.75" thickBot="1" x14ac:dyDescent="0.3">
      <c r="B44" s="13" t="s">
        <v>29</v>
      </c>
      <c r="C44" s="13" t="s">
        <v>30</v>
      </c>
      <c r="D44" s="13" t="s">
        <v>27</v>
      </c>
    </row>
    <row r="45" spans="1:6" x14ac:dyDescent="0.25">
      <c r="A45" s="31" t="s">
        <v>34</v>
      </c>
      <c r="B45" s="27">
        <v>18</v>
      </c>
      <c r="C45" s="27">
        <v>24</v>
      </c>
      <c r="D45" s="14">
        <v>0</v>
      </c>
      <c r="E45" s="8">
        <f>IF(AND('OASIS Calculation'!B$21&gt;= Ranges!B45,'OASIS Calculation'!B$21&lt;= Ranges!C45), 1,0)</f>
        <v>0</v>
      </c>
      <c r="F45" s="8">
        <f t="shared" ref="F45:F49" si="1">D45*E45</f>
        <v>0</v>
      </c>
    </row>
    <row r="46" spans="1:6" ht="12.75" customHeight="1" x14ac:dyDescent="0.25">
      <c r="A46" s="10" t="s">
        <v>20</v>
      </c>
      <c r="B46" s="28">
        <v>25</v>
      </c>
      <c r="C46" s="28">
        <v>53</v>
      </c>
      <c r="D46" s="15">
        <v>3</v>
      </c>
      <c r="E46" s="8">
        <f>IF(AND('OASIS Calculation'!B$21&gt;= Ranges!B46,'OASIS Calculation'!B$21&lt;= Ranges!C46), 1,0)</f>
        <v>0</v>
      </c>
      <c r="F46" s="8">
        <f t="shared" si="1"/>
        <v>0</v>
      </c>
    </row>
    <row r="47" spans="1:6" ht="12.75" customHeight="1" x14ac:dyDescent="0.25">
      <c r="A47" s="11"/>
      <c r="B47" s="28">
        <v>54</v>
      </c>
      <c r="C47" s="28">
        <v>77</v>
      </c>
      <c r="D47" s="15">
        <v>6</v>
      </c>
      <c r="E47" s="8">
        <f>IF(AND('OASIS Calculation'!B$21&gt;= Ranges!B47,'OASIS Calculation'!B$21&lt;= Ranges!C47), 1,0)</f>
        <v>1</v>
      </c>
      <c r="F47" s="8">
        <f t="shared" si="1"/>
        <v>6</v>
      </c>
    </row>
    <row r="48" spans="1:6" ht="12.75" customHeight="1" x14ac:dyDescent="0.25">
      <c r="A48" s="11"/>
      <c r="B48" s="28">
        <v>78</v>
      </c>
      <c r="C48" s="28">
        <v>89</v>
      </c>
      <c r="D48" s="15">
        <v>9</v>
      </c>
      <c r="E48" s="8">
        <f>IF(AND('OASIS Calculation'!B$21&gt;= Ranges!B48,'OASIS Calculation'!B$21&lt;= Ranges!C48), 1,0)</f>
        <v>0</v>
      </c>
      <c r="F48" s="8">
        <f t="shared" si="1"/>
        <v>0</v>
      </c>
    </row>
    <row r="49" spans="1:6" ht="12.75" customHeight="1" thickBot="1" x14ac:dyDescent="0.3">
      <c r="A49" s="12"/>
      <c r="B49" s="29">
        <v>90</v>
      </c>
      <c r="C49" s="29">
        <v>100</v>
      </c>
      <c r="D49" s="16">
        <v>7</v>
      </c>
      <c r="E49" s="8">
        <f>IF(AND('OASIS Calculation'!B$21&gt;= Ranges!B49,'OASIS Calculation'!B$21&lt;= Ranges!C49), 1,0)</f>
        <v>0</v>
      </c>
      <c r="F49" s="8">
        <f t="shared" si="1"/>
        <v>0</v>
      </c>
    </row>
    <row r="50" spans="1:6" ht="15.75" thickBot="1" x14ac:dyDescent="0.3">
      <c r="B50" s="13" t="s">
        <v>29</v>
      </c>
      <c r="C50" s="13" t="s">
        <v>30</v>
      </c>
      <c r="D50" s="13" t="s">
        <v>27</v>
      </c>
    </row>
    <row r="51" spans="1:6" x14ac:dyDescent="0.25">
      <c r="A51" s="32" t="s">
        <v>35</v>
      </c>
      <c r="B51" s="14" t="s">
        <v>36</v>
      </c>
      <c r="C51" s="14" t="s">
        <v>36</v>
      </c>
      <c r="D51" s="14">
        <v>0</v>
      </c>
      <c r="E51">
        <f>VLOOKUP(UPPER('OASIS Calculation'!B23),vent,3,FALSE)</f>
        <v>0</v>
      </c>
      <c r="F51" s="8">
        <f>E51</f>
        <v>0</v>
      </c>
    </row>
    <row r="52" spans="1:6" ht="15.75" thickBot="1" x14ac:dyDescent="0.3">
      <c r="A52" s="12"/>
      <c r="B52" s="16" t="s">
        <v>37</v>
      </c>
      <c r="C52" s="16" t="s">
        <v>37</v>
      </c>
      <c r="D52" s="16">
        <v>9</v>
      </c>
      <c r="E52"/>
    </row>
    <row r="53" spans="1:6" ht="15.75" thickBot="1" x14ac:dyDescent="0.3">
      <c r="B53" s="13" t="s">
        <v>29</v>
      </c>
      <c r="C53" s="13" t="s">
        <v>30</v>
      </c>
      <c r="D53" s="13" t="s">
        <v>27</v>
      </c>
    </row>
    <row r="54" spans="1:6" x14ac:dyDescent="0.25">
      <c r="A54" s="32" t="s">
        <v>38</v>
      </c>
      <c r="B54" s="14" t="s">
        <v>36</v>
      </c>
      <c r="C54" s="14" t="s">
        <v>36</v>
      </c>
      <c r="D54" s="14">
        <v>6</v>
      </c>
      <c r="E54">
        <f>VLOOKUP(UPPER('OASIS Calculation'!B25),elect,3,FALSE)</f>
        <v>0</v>
      </c>
      <c r="F54" s="8">
        <f>E54</f>
        <v>0</v>
      </c>
    </row>
    <row r="55" spans="1:6" ht="15.75" thickBot="1" x14ac:dyDescent="0.3">
      <c r="A55" s="12"/>
      <c r="B55" s="16" t="s">
        <v>37</v>
      </c>
      <c r="C55" s="16" t="s">
        <v>37</v>
      </c>
      <c r="D55" s="16">
        <v>0</v>
      </c>
    </row>
  </sheetData>
  <sheetProtection selectLockedCells="1" selectUn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10</vt:i4>
      </vt:variant>
    </vt:vector>
  </HeadingPairs>
  <TitlesOfParts>
    <vt:vector size="13" baseType="lpstr">
      <vt:lpstr>Instructions</vt:lpstr>
      <vt:lpstr>OASIS Calculation</vt:lpstr>
      <vt:lpstr>Ranges</vt:lpstr>
      <vt:lpstr>age</vt:lpstr>
      <vt:lpstr>elect</vt:lpstr>
      <vt:lpstr>gcs</vt:lpstr>
      <vt:lpstr>hr</vt:lpstr>
      <vt:lpstr>map</vt:lpstr>
      <vt:lpstr>prelos</vt:lpstr>
      <vt:lpstr>rr</vt:lpstr>
      <vt:lpstr>temp</vt:lpstr>
      <vt:lpstr>urine</vt:lpstr>
      <vt:lpstr>vent</vt:lpstr>
    </vt:vector>
  </TitlesOfParts>
  <Company>Cerner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Kramer,Andrew</dc:creator>
  <cp:lastModifiedBy>Kramer,Andrew</cp:lastModifiedBy>
  <dcterms:created xsi:type="dcterms:W3CDTF">2013-10-16T15:01:58Z</dcterms:created>
  <dcterms:modified xsi:type="dcterms:W3CDTF">2013-10-21T14:49:49Z</dcterms:modified>
</cp:coreProperties>
</file>